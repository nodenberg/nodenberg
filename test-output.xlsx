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media/image2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スタンダード請求書 単位あり 10％ " sheetId="1" state="visible" r:id="rId3"/>
    <sheet name="参照シート" sheetId="2" state="visible" r:id="rId4"/>
  </sheets>
  <definedNames>
    <definedName function="false" hidden="false" localSheetId="0" name="_xlnm.Print_Area" vbProcedure="false">'スタンダード請求書 単位あり 10％ '!$A$1:$Q$40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<sst xmlns="http://schemas.openxmlformats.org/spreadsheetml/2006/main" count="59" uniqueCount="53">
  <si>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請　求　書</t>
  </si>
  <si>
    <t xml:space="preserve">クライアント株式会社</t>
  </si>
  <si>
    <t xml:space="preserve">請求No.</t>
  </si>
  <si>
    <t xml:space="preserve">〒000-0000</t>
  </si>
  <si>
    <t xml:space="preserve">請求日</t>
  </si>
  <si>
    <t xml:space="preserve">2024年12月&lt;/v&gt;</t>
  </si>
  <si>
    <t xml:space="preserve">東京都目黒区上目黒12-34-56</t>
  </si>
  <si>
    <t xml:space="preserve">春夏秋冬ビル 3階</t>
  </si>
  <si>
    <t xml:space="preserve">A社 &amp; B社 &lt;共同&gt; </t>
  </si>
  <si>
    <t xml:space="preserve">〒123-4567</t>
  </si>
  <si>
    <t xml:space="preserve">総務部経理担当</t>
  </si>
  <si>
    <t xml:space="preserve">東京都目黒区上目黒1-2-3</t>
  </si>
  <si>
    <t xml:space="preserve">山田太郎 's dept.</t>
  </si>
  <si>
    <t xml:space="preserve">様</t>
  </si>
  <si>
    <t xml:space="preserve">サンプルビル 5階</t>
  </si>
  <si>
    <t xml:space="preserve">TEL：</t>
  </si>
  <si>
    <t xml:space="preserve">03-1234-5678</t>
  </si>
  <si>
    <t xml:space="preserve">E-Mail：</t>
  </si>
  <si>
    <t xml:space="preserve">sample@sample.co.jp</t>
  </si>
  <si>
    <t xml:space="preserve">担当：</t>
  </si>
  <si>
    <t xml:space="preserve">サンプル太郎</t>
  </si>
  <si>
    <t xml:space="preserve">No.</t>
  </si>
  <si>
    <t xml:space="preserve">項目</t>
  </si>
  <si>
    <t xml:space="preserve">数量</t>
  </si>
  <si>
    <t xml:space="preserve">単位</t>
  </si>
  <si>
    <t xml:space="preserve">単価</t>
  </si>
  <si>
    <t xml:space="preserve">金額</t>
  </si>
  <si>
    <t xml:space="preserve">制作ディレクション</t>
  </si>
  <si>
    <t xml:space="preserve">時間</t>
  </si>
  <si>
    <t xml:space="preserve">Webデザイン一式</t>
  </si>
  <si>
    <t xml:space="preserve">バナー制作</t>
  </si>
  <si>
    <t xml:space="preserve">個</t>
  </si>
  <si>
    <t xml:space="preserve">Web広告運用</t>
  </si>
  <si>
    <t xml:space="preserve">ヵ月分</t>
  </si>
  <si>
    <t xml:space="preserve">小計</t>
  </si>
  <si>
    <t xml:space="preserve">消費税(10%)</t>
  </si>
  <si>
    <t xml:space="preserve">合計</t>
  </si>
  <si>
    <t xml:space="preserve">お支払い期限</t>
  </si>
  <si>
    <t xml:space="preserve">¥1,234,567 "特別価格"</t>
  </si>
  <si>
    <t xml:space="preserve">こちらの銀行口座にお振込をお願い致します。</t>
  </si>
  <si>
    <t xml:space="preserve">*恐れ入りますが、振込手数料はお客様にてご負担ください。</t>
  </si>
  <si>
    <t xml:space="preserve">お振込先詳細</t>
  </si>
  <si>
    <t xml:space="preserve">〇〇銀行</t>
  </si>
  <si>
    <t xml:space="preserve">〇〇支店</t>
  </si>
  <si>
    <t xml:space="preserve">普通預金</t>
  </si>
  <si>
    <t xml:space="preserve">備考</t>
  </si>
  <si>
    <t xml:space="preserve">請求書作成・管理ならMakeLeaps（メイクリープス）</t>
  </si>
  <si>
    <t xml:space="preserve">式</t>
  </si>
  <si>
    <t xml:space="preserve">日</t>
  </si>
  <si>
    <t xml:space="preserve">ヶ月</t>
  </si>
  <si>
    <t xml:space="preserve">袋</t>
  </si>
  <si>
    <t xml:space="preserve">セット</t>
  </si>
  <si>
    <t xml:space="preserve">枚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</si>
</sst>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年m\月d\日;@"/>
    <numFmt numFmtId="166" formatCode="#,##0;[RED]\-#,##0"/>
    <numFmt numFmtId="167" formatCode="\¥#,##0;[RED]&quot;¥-&quot;#,##0"/>
    <numFmt numFmtId="168" formatCode="0%"/>
  </numFmts>
  <fonts count="14">
    <font>
      <sz val="12"/>
      <color theme="1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2"/>
      <color theme="1"/>
      <name val="ＭＳ Ｐ明朝"/>
      <family val="1"/>
      <charset val="128"/>
    </font>
    <font>
      <sz val="18"/>
      <color theme="1"/>
      <name val="ＭＳ Ｐ明朝"/>
      <family val="1"/>
      <charset val="128"/>
    </font>
    <font>
      <sz val="16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u val="single"/>
      <sz val="12"/>
      <color theme="10"/>
      <name val="游ゴシック"/>
      <family val="2"/>
      <charset val="128"/>
    </font>
    <font>
      <b val="true"/>
      <sz val="12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  <font>
      <u val="single"/>
      <sz val="12"/>
      <color theme="10"/>
      <name val="ＭＳ Ｐ明朝"/>
      <family val="1"/>
      <charset val="128"/>
    </font>
    <font>
      <sz val="12"/>
      <color theme="1"/>
      <name val="MS PMincho"/>
      <family val="1"/>
      <charset val="128"/>
    </font>
    <font>
      <sz val="11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8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3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0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8" fillId="0" borderId="0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21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4" fillId="0" borderId="1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" fillId="0" borderId="6" xfId="21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4" fillId="0" borderId="6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3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4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0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0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3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  <cellStyle name="Excel Built-in Comma [0] 1" xfId="21"/>
    <cellStyle name="Excel Built-in Currency [0]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279360</xdr:colOff>
      <xdr:row>5</xdr:row>
      <xdr:rowOff>228600</xdr:rowOff>
    </xdr:from>
    <xdr:to>
      <xdr:col>16</xdr:col>
      <xdr:colOff>164520</xdr:colOff>
      <xdr:row>9</xdr:row>
      <xdr:rowOff>125640</xdr:rowOff>
    </xdr:to>
    <xdr:pic>
      <xdr:nvPicPr>
        <xdr:cNvPr id="1" name="図 11" descr=""/>
        <xdr:cNvPicPr/>
      </xdr:nvPicPr>
      <xdr:blipFill>
        <a:blip r:embed="rId1"/>
        <a:stretch/>
      </xdr:blipFill>
      <xdr:spPr>
        <a:xfrm>
          <a:off x="6867000" y="1657440"/>
          <a:ext cx="826200" cy="887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93600</xdr:colOff>
      <xdr:row>1</xdr:row>
      <xdr:rowOff>164520</xdr:rowOff>
    </xdr:from>
    <xdr:to>
      <xdr:col>16</xdr:col>
      <xdr:colOff>148680</xdr:colOff>
      <xdr:row>2</xdr:row>
      <xdr:rowOff>163800</xdr:rowOff>
    </xdr:to>
    <xdr:pic>
      <xdr:nvPicPr>
        <xdr:cNvPr id="2" name="図 17" descr=""/>
        <xdr:cNvPicPr/>
      </xdr:nvPicPr>
      <xdr:blipFill>
        <a:blip r:embed="rId2"/>
        <a:stretch/>
      </xdr:blipFill>
      <xdr:spPr>
        <a:xfrm>
          <a:off x="5269320" y="602640"/>
          <a:ext cx="2408040" cy="246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mple@sample.co.jp" TargetMode="External"/><Relationship Id="rId2" Type="http://schemas.openxmlformats.org/officeDocument/2006/relationships/hyperlink" Target="https://bit.ly/3gw3gji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2"/>
  <sheetViews>
    <sheetView showFormulas="false" showGridLines="false" showRowColHeaders="true" showZeros="true" rightToLeft="false" tabSelected="true" showOutlineSymbols="true" defaultGridColor="true" view="pageBreakPreview" topLeftCell="A1" colorId="64" zoomScale="75" zoomScaleNormal="100" zoomScalePageLayoutView="75" workbookViewId="0">
      <selection pane="topLeft" activeCell="S7" activeCellId="0" sqref="S7"/>
    </sheetView>
  </sheetViews>
  <sheetFormatPr defaultColWidth="10.56640625" defaultRowHeight="19.5" customHeight="true" zeroHeight="false" outlineLevelRow="0" outlineLevelCol="0"/>
  <cols>
    <col collapsed="false" customWidth="true" hidden="false" outlineLevel="0" max="17" min="1" style="1" width="5.57"/>
    <col collapsed="false" customWidth="true" hidden="false" outlineLevel="0" max="16384" min="16384" style="0" width="9.63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19.5" hidden="false" customHeight="false" outlineLevel="0" collapsed="false">
      <c r="A4" s="4"/>
      <c r="B4" s="4" t="s">
        <v>1</v>
      </c>
      <c r="C4" s="4"/>
      <c r="D4" s="4"/>
      <c r="E4" s="4"/>
      <c r="F4" s="4"/>
      <c r="G4" s="4"/>
      <c r="H4" s="5"/>
      <c r="I4" s="5"/>
      <c r="J4" s="6"/>
      <c r="K4" s="6"/>
      <c r="L4" s="7" t="s">
        <v>2</v>
      </c>
      <c r="M4" s="7"/>
      <c r="N4" s="8" t="n">
        <v>101</v>
      </c>
      <c r="O4" s="8"/>
      <c r="P4" s="8"/>
      <c r="Q4" s="8"/>
    </row>
    <row r="5" customFormat="false" ht="19.5" hidden="false" customHeight="false" outlineLevel="0" collapsed="false">
      <c r="A5" s="6"/>
      <c r="B5" s="9" t="s">
        <v>3</v>
      </c>
      <c r="C5" s="3"/>
      <c r="D5" s="3"/>
      <c r="E5" s="3"/>
      <c r="F5" s="3"/>
      <c r="G5" s="6"/>
      <c r="H5" s="6"/>
      <c r="I5" s="6"/>
      <c r="J5" s="6"/>
      <c r="K5" s="6"/>
      <c r="L5" s="7" t="s">
        <v>4</v>
      </c>
      <c r="M5" s="7"/>
      <c r="N5" s="10" t="s">
        <v>5</v>
      </c>
      <c r="O5" s="10"/>
      <c r="P5" s="10"/>
      <c r="Q5" s="10"/>
    </row>
    <row r="6" customFormat="false" ht="19.5" hidden="false" customHeight="false" outlineLevel="0" collapsed="false">
      <c r="A6" s="6"/>
      <c r="B6" s="6" t="s">
        <v>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customFormat="false" ht="19.5" hidden="false" customHeight="false" outlineLevel="0" collapsed="false">
      <c r="B7" s="1" t="s">
        <v>7</v>
      </c>
      <c r="J7" s="6"/>
      <c r="K7" s="6" t="s">
        <v>8</v>
      </c>
      <c r="L7" s="6"/>
      <c r="M7" s="6"/>
      <c r="N7" s="6"/>
      <c r="O7" s="6"/>
      <c r="P7" s="6"/>
      <c r="Q7" s="6"/>
    </row>
    <row r="8" customFormat="false" ht="19.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7" t="s">
        <v>9</v>
      </c>
      <c r="L8" s="7"/>
      <c r="M8" s="7"/>
      <c r="N8" s="7"/>
      <c r="O8" s="7"/>
      <c r="P8" s="7"/>
      <c r="Q8" s="7"/>
    </row>
    <row r="9" customFormat="false" ht="19.5" hidden="false" customHeight="false" outlineLevel="0" collapsed="false">
      <c r="A9" s="6"/>
      <c r="B9" s="6" t="s">
        <v>10</v>
      </c>
      <c r="C9" s="6"/>
      <c r="D9" s="6"/>
      <c r="E9" s="6"/>
      <c r="F9" s="6"/>
      <c r="G9" s="6"/>
      <c r="H9" s="6"/>
      <c r="I9" s="6"/>
      <c r="J9" s="6"/>
      <c r="K9" s="7" t="s">
        <v>11</v>
      </c>
      <c r="L9" s="7"/>
      <c r="M9" s="7"/>
      <c r="N9" s="7"/>
      <c r="O9" s="7"/>
      <c r="P9" s="7"/>
      <c r="Q9" s="7"/>
    </row>
    <row r="10" customFormat="false" ht="19.5" hidden="false" customHeight="false" outlineLevel="0" collapsed="false">
      <c r="A10" s="6"/>
      <c r="B10" s="6" t="s">
        <v>12</v>
      </c>
      <c r="C10" s="6"/>
      <c r="D10" s="6" t="s">
        <v>13</v>
      </c>
      <c r="E10" s="6"/>
      <c r="F10" s="6"/>
      <c r="G10" s="6"/>
      <c r="H10" s="6"/>
      <c r="I10" s="6"/>
      <c r="J10" s="6"/>
      <c r="K10" s="7" t="s">
        <v>14</v>
      </c>
      <c r="L10" s="7"/>
      <c r="M10" s="7"/>
      <c r="N10" s="7"/>
      <c r="O10" s="7"/>
      <c r="P10" s="7"/>
      <c r="Q10" s="7"/>
    </row>
    <row r="11" customFormat="false" ht="19.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8" t="s">
        <v>15</v>
      </c>
      <c r="L11" s="8"/>
      <c r="M11" s="7" t="s">
        <v>16</v>
      </c>
      <c r="N11" s="7"/>
      <c r="O11" s="7"/>
      <c r="P11" s="7"/>
      <c r="Q11" s="7"/>
    </row>
    <row r="12" customFormat="false" ht="19.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L12" s="6" t="s">
        <v>17</v>
      </c>
      <c r="M12" s="11" t="s">
        <v>18</v>
      </c>
      <c r="N12" s="6"/>
      <c r="O12" s="6"/>
      <c r="P12" s="6"/>
      <c r="Q12" s="6"/>
    </row>
    <row r="13" customFormat="false" ht="19.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L13" s="6" t="s">
        <v>19</v>
      </c>
      <c r="M13" s="7" t="s">
        <v>20</v>
      </c>
      <c r="N13" s="7"/>
      <c r="O13" s="7"/>
      <c r="P13" s="7"/>
      <c r="Q13" s="7"/>
    </row>
    <row r="14" customFormat="false" ht="19.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customFormat="false" ht="19.5" hidden="false" customHeight="false" outlineLevel="0" collapsed="false">
      <c r="A15" s="12" t="s">
        <v>21</v>
      </c>
      <c r="B15" s="12" t="s">
        <v>22</v>
      </c>
      <c r="C15" s="12"/>
      <c r="D15" s="12"/>
      <c r="E15" s="12"/>
      <c r="F15" s="12"/>
      <c r="G15" s="12"/>
      <c r="H15" s="12"/>
      <c r="I15" s="12"/>
      <c r="J15" s="12" t="s">
        <v>23</v>
      </c>
      <c r="K15" s="12" t="s">
        <v>24</v>
      </c>
      <c r="L15" s="12" t="s">
        <v>25</v>
      </c>
      <c r="M15" s="12"/>
      <c r="N15" s="12"/>
      <c r="O15" s="12" t="s">
        <v>26</v>
      </c>
      <c r="P15" s="12"/>
      <c r="Q15" s="12"/>
    </row>
    <row r="16" customFormat="false" ht="19.5" hidden="false" customHeight="false" outlineLevel="0" collapsed="false">
      <c r="A16" s="13" t="n">
        <v>1</v>
      </c>
      <c r="B16" s="14" t="s">
        <v>27</v>
      </c>
      <c r="C16" s="15"/>
      <c r="D16" s="15"/>
      <c r="E16" s="15"/>
      <c r="F16" s="15"/>
      <c r="G16" s="15"/>
      <c r="H16" s="15"/>
      <c r="I16" s="16"/>
      <c r="J16" s="17" t="n">
        <v>5</v>
      </c>
      <c r="K16" s="18" t="s">
        <v>28</v>
      </c>
      <c r="L16" s="19" t="n">
        <v>70000</v>
      </c>
      <c r="M16" s="19"/>
      <c r="N16" s="19"/>
      <c r="O16" s="20" t="n">
        <f aca="false">IF(AND(J16&lt;&gt;"",L16&lt;&gt;""),J16*L16,"")</f>
        <v>350000</v>
      </c>
      <c r="P16" s="20"/>
      <c r="Q16" s="20"/>
    </row>
    <row r="17" customFormat="false" ht="19.5" hidden="false" customHeight="false" outlineLevel="0" collapsed="false">
      <c r="A17" s="13" t="n">
        <v>2</v>
      </c>
      <c r="B17" s="14" t="s">
        <v>29</v>
      </c>
      <c r="C17" s="15"/>
      <c r="D17" s="15"/>
      <c r="E17" s="15"/>
      <c r="F17" s="15"/>
      <c r="G17" s="15"/>
      <c r="H17" s="15"/>
      <c r="I17" s="16"/>
      <c r="J17" s="17" t="n">
        <v>15</v>
      </c>
      <c r="K17" s="18" t="s">
        <v>28</v>
      </c>
      <c r="L17" s="19" t="n">
        <v>70000</v>
      </c>
      <c r="M17" s="19"/>
      <c r="N17" s="19"/>
      <c r="O17" s="20" t="n">
        <f aca="false">IF(AND(J17&lt;&gt;"",L17&lt;&gt;""),J17*L17,"")</f>
        <v>1050000</v>
      </c>
      <c r="P17" s="20"/>
      <c r="Q17" s="20"/>
    </row>
    <row r="18" customFormat="false" ht="19.5" hidden="false" customHeight="true" outlineLevel="0" collapsed="false">
      <c r="A18" s="13" t="n">
        <v>3</v>
      </c>
      <c r="B18" s="14" t="s">
        <v>30</v>
      </c>
      <c r="C18" s="15"/>
      <c r="D18" s="15"/>
      <c r="E18" s="15"/>
      <c r="F18" s="15"/>
      <c r="G18" s="15"/>
      <c r="H18" s="15"/>
      <c r="I18" s="16"/>
      <c r="J18" s="17" t="n">
        <v>5</v>
      </c>
      <c r="K18" s="18" t="s">
        <v>31</v>
      </c>
      <c r="L18" s="19" t="n">
        <v>70000</v>
      </c>
      <c r="M18" s="19"/>
      <c r="N18" s="19"/>
      <c r="O18" s="20" t="n">
        <f aca="false">IF(AND(J18&lt;&gt;"",L18&lt;&gt;""),J18*L18,"")</f>
        <v>350000</v>
      </c>
      <c r="P18" s="20"/>
      <c r="Q18" s="20"/>
    </row>
    <row r="19" customFormat="false" ht="19.5" hidden="false" customHeight="false" outlineLevel="0" collapsed="false">
      <c r="A19" s="13" t="n">
        <v>4</v>
      </c>
      <c r="B19" s="14" t="s">
        <v>32</v>
      </c>
      <c r="C19" s="15"/>
      <c r="D19" s="15"/>
      <c r="E19" s="15"/>
      <c r="F19" s="15"/>
      <c r="G19" s="15"/>
      <c r="H19" s="15"/>
      <c r="I19" s="16"/>
      <c r="J19" s="17" t="n">
        <v>1</v>
      </c>
      <c r="K19" s="18" t="s">
        <v>33</v>
      </c>
      <c r="L19" s="19" t="n">
        <v>70000</v>
      </c>
      <c r="M19" s="19"/>
      <c r="N19" s="19"/>
      <c r="O19" s="20" t="n">
        <f aca="false">IF(AND(J19&lt;&gt;"",L19&lt;&gt;""),J19*L19,"")</f>
        <v>70000</v>
      </c>
      <c r="P19" s="20"/>
      <c r="Q19" s="20"/>
    </row>
    <row r="20" customFormat="false" ht="19.5" hidden="false" customHeight="false" outlineLevel="0" collapsed="false">
      <c r="A20" s="13" t="n">
        <v>5</v>
      </c>
      <c r="B20" s="14"/>
      <c r="C20" s="15"/>
      <c r="D20" s="15"/>
      <c r="E20" s="15"/>
      <c r="F20" s="15"/>
      <c r="G20" s="15"/>
      <c r="H20" s="15"/>
      <c r="I20" s="16"/>
      <c r="J20" s="17"/>
      <c r="K20" s="18"/>
      <c r="L20" s="19"/>
      <c r="M20" s="19"/>
      <c r="N20" s="19"/>
      <c r="O20" s="20" t="str">
        <f aca="false">IF(AND(J20&lt;&gt;"",L20&lt;&gt;""),J20*L20,"")</f>
        <v/>
      </c>
      <c r="P20" s="20"/>
      <c r="Q20" s="20"/>
    </row>
    <row r="21" customFormat="false" ht="19.5" hidden="false" customHeight="false" outlineLevel="0" collapsed="false">
      <c r="A21" s="13" t="n">
        <v>6</v>
      </c>
      <c r="B21" s="14"/>
      <c r="C21" s="15"/>
      <c r="D21" s="15"/>
      <c r="E21" s="15"/>
      <c r="F21" s="15"/>
      <c r="G21" s="15"/>
      <c r="H21" s="15"/>
      <c r="I21" s="16"/>
      <c r="J21" s="17"/>
      <c r="K21" s="18"/>
      <c r="L21" s="19"/>
      <c r="M21" s="19"/>
      <c r="N21" s="19"/>
      <c r="O21" s="20" t="str">
        <f aca="false">IF(AND(J21&lt;&gt;"",L21&lt;&gt;""),J21*L21,"")</f>
        <v/>
      </c>
      <c r="P21" s="20"/>
      <c r="Q21" s="20"/>
    </row>
    <row r="22" customFormat="false" ht="19.5" hidden="false" customHeight="false" outlineLevel="0" collapsed="false">
      <c r="A22" s="13" t="n">
        <v>7</v>
      </c>
      <c r="B22" s="14"/>
      <c r="C22" s="15"/>
      <c r="D22" s="15"/>
      <c r="E22" s="15"/>
      <c r="F22" s="15"/>
      <c r="G22" s="15"/>
      <c r="H22" s="15"/>
      <c r="I22" s="16"/>
      <c r="J22" s="17"/>
      <c r="K22" s="18"/>
      <c r="L22" s="19"/>
      <c r="M22" s="19"/>
      <c r="N22" s="19"/>
      <c r="O22" s="20" t="str">
        <f aca="false">IF(AND(J22&lt;&gt;"",L22&lt;&gt;""),J22*L22,"")</f>
        <v/>
      </c>
      <c r="P22" s="20"/>
      <c r="Q22" s="20"/>
    </row>
    <row r="23" customFormat="false" ht="19.5" hidden="false" customHeight="false" outlineLevel="0" collapsed="false">
      <c r="A23" s="13" t="n">
        <v>8</v>
      </c>
      <c r="B23" s="14"/>
      <c r="C23" s="15"/>
      <c r="D23" s="15"/>
      <c r="E23" s="15"/>
      <c r="F23" s="15"/>
      <c r="G23" s="15"/>
      <c r="H23" s="15"/>
      <c r="I23" s="16"/>
      <c r="J23" s="17"/>
      <c r="K23" s="18"/>
      <c r="L23" s="19"/>
      <c r="M23" s="19"/>
      <c r="N23" s="19"/>
      <c r="O23" s="20" t="str">
        <f aca="false">IF(AND(J23&lt;&gt;"",L23&lt;&gt;""),J23*L23,"")</f>
        <v/>
      </c>
      <c r="P23" s="20"/>
      <c r="Q23" s="20"/>
    </row>
    <row r="24" customFormat="false" ht="19.5" hidden="false" customHeight="false" outlineLevel="0" collapsed="false">
      <c r="A24" s="13" t="n">
        <v>9</v>
      </c>
      <c r="B24" s="14"/>
      <c r="C24" s="15"/>
      <c r="D24" s="15"/>
      <c r="E24" s="15"/>
      <c r="F24" s="15"/>
      <c r="G24" s="15"/>
      <c r="H24" s="15"/>
      <c r="I24" s="16"/>
      <c r="J24" s="21"/>
      <c r="K24" s="18"/>
      <c r="L24" s="22"/>
      <c r="M24" s="22"/>
      <c r="N24" s="22"/>
      <c r="O24" s="23" t="str">
        <f aca="false">IF(AND(J24&lt;&gt;"",L24&lt;&gt;""),J24*L24,"")</f>
        <v/>
      </c>
      <c r="P24" s="23"/>
      <c r="Q24" s="23"/>
    </row>
    <row r="25" customFormat="false" ht="19.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24" t="s">
        <v>34</v>
      </c>
      <c r="K25" s="24"/>
      <c r="L25" s="25" t="n">
        <f aca="false">SUM(O16:Q24)</f>
        <v>1820000</v>
      </c>
      <c r="M25" s="25"/>
      <c r="N25" s="25"/>
      <c r="O25" s="25"/>
      <c r="P25" s="25"/>
      <c r="Q25" s="25"/>
    </row>
    <row r="26" customFormat="false" ht="19.5" hidden="false" customHeight="false" outlineLevel="0" collapsed="false">
      <c r="G26" s="6"/>
      <c r="H26" s="6"/>
      <c r="I26" s="6"/>
      <c r="J26" s="24" t="s">
        <v>35</v>
      </c>
      <c r="K26" s="24"/>
      <c r="L26" s="26" t="n">
        <f aca="false">L25*参照シート!B2</f>
        <v>182000</v>
      </c>
      <c r="M26" s="26"/>
      <c r="N26" s="26"/>
      <c r="O26" s="26"/>
      <c r="P26" s="26"/>
      <c r="Q26" s="26"/>
    </row>
    <row r="27" customFormat="false" ht="19.5" hidden="false" customHeight="false" outlineLevel="0" collapsed="false">
      <c r="G27" s="6"/>
      <c r="H27" s="6"/>
      <c r="I27" s="6"/>
      <c r="J27" s="24" t="s">
        <v>36</v>
      </c>
      <c r="K27" s="24"/>
      <c r="L27" s="26" t="n">
        <f aca="false">L25+L26</f>
        <v>2002000</v>
      </c>
      <c r="M27" s="26"/>
      <c r="N27" s="26"/>
      <c r="O27" s="26"/>
      <c r="P27" s="26"/>
      <c r="Q27" s="26"/>
    </row>
    <row r="28" customFormat="false" ht="19.5" hidden="false" customHeight="false" outlineLevel="0" collapsed="false">
      <c r="G28" s="6"/>
      <c r="H28" s="6"/>
      <c r="I28" s="6"/>
      <c r="J28" s="6" t="s">
        <v>37</v>
      </c>
      <c r="K28" s="6"/>
      <c r="L28" s="27" t="s">
        <v>38</v>
      </c>
      <c r="M28" s="27"/>
      <c r="N28" s="27"/>
      <c r="O28" s="27"/>
      <c r="P28" s="27"/>
      <c r="Q28" s="27"/>
    </row>
    <row r="29" customFormat="false" ht="19.5" hidden="false" customHeight="false" outlineLevel="0" collapsed="false">
      <c r="A29" s="1" t="s">
        <v>39</v>
      </c>
      <c r="G29" s="6"/>
      <c r="H29" s="6"/>
      <c r="I29" s="6"/>
      <c r="J29" s="6"/>
      <c r="K29" s="6"/>
      <c r="L29" s="27"/>
      <c r="M29" s="27"/>
      <c r="N29" s="27"/>
      <c r="O29" s="27"/>
      <c r="P29" s="27"/>
      <c r="Q29" s="27"/>
    </row>
    <row r="30" customFormat="false" ht="19.5" hidden="false" customHeight="false" outlineLevel="0" collapsed="false">
      <c r="A30" s="1" t="s">
        <v>40</v>
      </c>
      <c r="G30" s="6"/>
      <c r="H30" s="6"/>
      <c r="I30" s="6"/>
      <c r="J30" s="6"/>
      <c r="K30" s="6"/>
      <c r="L30" s="27"/>
      <c r="M30" s="27"/>
      <c r="N30" s="27"/>
      <c r="O30" s="27"/>
      <c r="P30" s="27"/>
      <c r="Q30" s="27"/>
    </row>
    <row r="31" customFormat="false" ht="19.5" hidden="false" customHeight="false" outlineLevel="0" collapsed="false">
      <c r="G31" s="6"/>
      <c r="H31" s="6"/>
      <c r="I31" s="6"/>
      <c r="J31" s="6"/>
      <c r="K31" s="6"/>
      <c r="L31" s="27"/>
      <c r="M31" s="27"/>
      <c r="N31" s="27"/>
      <c r="O31" s="27"/>
      <c r="P31" s="27"/>
      <c r="Q31" s="27"/>
    </row>
    <row r="32" customFormat="false" ht="19.5" hidden="false" customHeight="false" outlineLevel="0" collapsed="false">
      <c r="A32" s="28" t="s">
        <v>41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9"/>
      <c r="M32" s="29"/>
      <c r="N32" s="29"/>
      <c r="O32" s="29"/>
      <c r="P32" s="29"/>
      <c r="Q32" s="29"/>
    </row>
    <row r="33" customFormat="false" ht="19.5" hidden="false" customHeight="false" outlineLevel="0" collapsed="false">
      <c r="A33" s="6"/>
      <c r="B33" s="6" t="s">
        <v>42</v>
      </c>
      <c r="C33" s="6"/>
      <c r="D33" s="6" t="s">
        <v>43</v>
      </c>
      <c r="E33" s="6"/>
      <c r="F33" s="6"/>
      <c r="G33" s="6"/>
      <c r="H33" s="6"/>
      <c r="I33" s="6"/>
      <c r="J33" s="6"/>
      <c r="K33" s="6"/>
      <c r="L33" s="27"/>
      <c r="M33" s="27"/>
      <c r="N33" s="27"/>
      <c r="O33" s="27"/>
      <c r="P33" s="27"/>
      <c r="Q33" s="27"/>
    </row>
    <row r="34" customFormat="false" ht="19.5" hidden="false" customHeight="false" outlineLevel="0" collapsed="false">
      <c r="A34" s="6"/>
      <c r="B34" s="30" t="s">
        <v>44</v>
      </c>
      <c r="C34" s="6"/>
      <c r="D34" s="31" t="n">
        <v>12345678</v>
      </c>
      <c r="E34" s="31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customFormat="false" ht="19.5" hidden="false" customHeight="false" outlineLevel="0" collapsed="false">
      <c r="A35" s="6"/>
      <c r="B35" s="32"/>
      <c r="C35" s="32"/>
      <c r="D35" s="32"/>
      <c r="E35" s="32"/>
      <c r="F35" s="32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customFormat="false" ht="19.5" hidden="false" customHeight="false" outlineLevel="0" collapsed="false">
      <c r="A36" s="12" t="s">
        <v>45</v>
      </c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customFormat="false" ht="19.5" hidden="false" customHeight="false" outlineLevel="0" collapsed="false">
      <c r="A37" s="12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9.5" hidden="false" customHeight="false" outlineLevel="0" collapsed="false">
      <c r="A38" s="12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customFormat="false" ht="19.5" hidden="false" customHeight="false" outlineLevel="0" collapsed="false">
      <c r="A39" s="12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customFormat="false" ht="19.5" hidden="false" customHeight="false" outlineLevel="0" collapsed="false">
      <c r="A40" s="33" t="s">
        <v>46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customFormat="false" ht="19.5" hidden="false" customHeight="false" outlineLevel="0" collapsed="false">
      <c r="A41" s="3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customFormat="false" ht="19.5" hidden="false" customHeight="false" outlineLevel="0" collapsed="false">
      <c r="A42" s="3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</sheetData>
  <mergeCells count="45">
    <mergeCell ref="A1:Q1"/>
    <mergeCell ref="A2:Q2"/>
    <mergeCell ref="H4:I4"/>
    <mergeCell ref="L4:M4"/>
    <mergeCell ref="N4:Q4"/>
    <mergeCell ref="L5:M5"/>
    <mergeCell ref="N5:Q5"/>
    <mergeCell ref="K8:Q8"/>
    <mergeCell ref="K9:Q9"/>
    <mergeCell ref="K10:Q10"/>
    <mergeCell ref="K11:L11"/>
    <mergeCell ref="M11:Q11"/>
    <mergeCell ref="M13:Q13"/>
    <mergeCell ref="B15:I15"/>
    <mergeCell ref="L15:N15"/>
    <mergeCell ref="O15:Q15"/>
    <mergeCell ref="L16:N16"/>
    <mergeCell ref="O16:Q16"/>
    <mergeCell ref="L17:N17"/>
    <mergeCell ref="O17:Q17"/>
    <mergeCell ref="L18:N18"/>
    <mergeCell ref="O18:Q18"/>
    <mergeCell ref="L19:N19"/>
    <mergeCell ref="O19:Q19"/>
    <mergeCell ref="L20:N20"/>
    <mergeCell ref="O20:Q20"/>
    <mergeCell ref="L21:N21"/>
    <mergeCell ref="O21:Q21"/>
    <mergeCell ref="L22:N22"/>
    <mergeCell ref="O22:Q22"/>
    <mergeCell ref="L23:N23"/>
    <mergeCell ref="O23:Q23"/>
    <mergeCell ref="L24:N24"/>
    <mergeCell ref="O24:Q24"/>
    <mergeCell ref="J25:K25"/>
    <mergeCell ref="L25:Q25"/>
    <mergeCell ref="J26:K26"/>
    <mergeCell ref="L26:Q26"/>
    <mergeCell ref="J27:K27"/>
    <mergeCell ref="L27:Q27"/>
    <mergeCell ref="L28:Q28"/>
    <mergeCell ref="D34:E34"/>
    <mergeCell ref="B35:F35"/>
    <mergeCell ref="A36:B39"/>
    <mergeCell ref="C36:Q39"/>
  </mergeCells>
  <dataValidations count="1">
    <dataValidation allowBlank="true" errorStyle="stop" operator="between" showDropDown="false" showErrorMessage="true" showInputMessage="true" sqref="K16:K24" type="list">
      <formula1>参照シート!$A$1:$A$11</formula1>
      <formula2>0</formula2>
    </dataValidation>
  </dataValidations>
  <hyperlinks>
    <hyperlink ref="M12" r:id="rId1" display="sample@sample.co.jp"/>
    <hyperlink ref="A40" r:id="rId2" display="請求書作成・管理ならMakeLeaps（メイクリープス）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A1" activeCellId="0" sqref="A1"/>
    </sheetView>
  </sheetViews>
  <sheetFormatPr defaultColWidth="10.56640625" defaultRowHeight="19.5" customHeight="true" zeroHeight="false" outlineLevelRow="0" outlineLevelCol="0"/>
  <sheetData>
    <row r="1" customFormat="false" ht="19.5" hidden="false" customHeight="false" outlineLevel="0" collapsed="false">
      <c r="A1" s="35" t="s">
        <v>31</v>
      </c>
      <c r="B1" s="36" t="n">
        <v>0.08</v>
      </c>
    </row>
    <row r="2" customFormat="false" ht="19.5" hidden="false" customHeight="false" outlineLevel="0" collapsed="false">
      <c r="A2" s="35" t="s">
        <v>47</v>
      </c>
      <c r="B2" s="36" t="n">
        <v>0.1</v>
      </c>
    </row>
    <row r="3" customFormat="false" ht="19.5" hidden="false" customHeight="false" outlineLevel="0" collapsed="false">
      <c r="A3" s="35" t="s">
        <v>28</v>
      </c>
      <c r="B3" s="1"/>
    </row>
    <row r="4" customFormat="false" ht="19.5" hidden="false" customHeight="false" outlineLevel="0" collapsed="false">
      <c r="A4" s="35" t="s">
        <v>48</v>
      </c>
      <c r="B4" s="1"/>
    </row>
    <row r="5" customFormat="false" ht="19.5" hidden="false" customHeight="false" outlineLevel="0" collapsed="false">
      <c r="A5" s="35" t="s">
        <v>49</v>
      </c>
      <c r="B5" s="1"/>
    </row>
    <row r="6" customFormat="false" ht="19.5" hidden="false" customHeight="false" outlineLevel="0" collapsed="false">
      <c r="A6" s="35" t="s">
        <v>50</v>
      </c>
    </row>
    <row r="7" customFormat="false" ht="19.5" hidden="false" customHeight="false" outlineLevel="0" collapsed="false">
      <c r="A7" s="35" t="s">
        <v>31</v>
      </c>
    </row>
    <row r="8" customFormat="false" ht="19.5" hidden="false" customHeight="false" outlineLevel="0" collapsed="false">
      <c r="A8" s="35" t="s">
        <v>51</v>
      </c>
    </row>
    <row r="9" customFormat="false" ht="19.5" hidden="false" customHeight="false" outlineLevel="0" collapsed="false">
      <c r="A9" s="35" t="s">
        <v>28</v>
      </c>
    </row>
    <row r="10" customFormat="false" ht="19.5" hidden="false" customHeight="false" outlineLevel="0" collapsed="false">
      <c r="A10" s="35" t="s">
        <v>33</v>
      </c>
    </row>
    <row r="11" customFormat="false" ht="19.5" hidden="false" customHeight="false" outlineLevel="0" collapsed="false">
      <c r="A11" s="35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2020-01-09T02:03:08Z</dcterms:created>
  <dc:creator>Microsoft Office User</dc:creator>
  <dc:description/>
  <dc:language>ja-JP</dc:language>
  <cp:lastModifiedBy/>
  <cp:lastPrinted>2020-01-09T03:03:32Z</cp:lastPrinted>
  <dcterms:modified xsi:type="dcterms:W3CDTF">2025-12-11T21:48:22Z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